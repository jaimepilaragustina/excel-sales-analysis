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aime\Desktop\"/>
    </mc:Choice>
  </mc:AlternateContent>
  <xr:revisionPtr revIDLastSave="0" documentId="8_{656B0A8E-10A4-45C3-A5A0-362427A2F200}" xr6:coauthVersionLast="47" xr6:coauthVersionMax="47" xr10:uidLastSave="{00000000-0000-0000-0000-000000000000}"/>
  <bookViews>
    <workbookView xWindow="7710" yWindow="0" windowWidth="12780" windowHeight="10920" firstSheet="1" activeTab="1" xr2:uid="{4380DA27-91DA-43C6-84CA-F8DFC20AB5FD}"/>
  </bookViews>
  <sheets>
    <sheet name="Ventas" sheetId="1" r:id="rId1"/>
    <sheet name="Análisis" sheetId="11" r:id="rId2"/>
    <sheet name="Productos" sheetId="2" r:id="rId3"/>
    <sheet name="Cliente" sheetId="3" r:id="rId4"/>
    <sheet name="Localidad" sheetId="4" r:id="rId5"/>
    <sheet name="Medio de pago" sheetId="8" r:id="rId6"/>
    <sheet name="Dashboard" sheetId="9" r:id="rId7"/>
  </sheets>
  <calcPr calcId="191029"/>
  <pivotCaches>
    <pivotCache cacheId="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1" l="1"/>
  <c r="E4" i="11"/>
  <c r="C4" i="11"/>
  <c r="A4" i="11"/>
  <c r="A17" i="1"/>
  <c r="C5" i="4"/>
  <c r="C6" i="4"/>
  <c r="C4" i="4"/>
  <c r="C7" i="4" s="1"/>
  <c r="D8" i="3"/>
  <c r="D7" i="3"/>
  <c r="D6" i="3"/>
  <c r="D5" i="3"/>
  <c r="D4" i="3"/>
  <c r="H15" i="1"/>
  <c r="H4" i="1"/>
  <c r="H24" i="1"/>
  <c r="H23" i="1"/>
  <c r="H22" i="1"/>
  <c r="H19" i="1"/>
  <c r="H20" i="1"/>
  <c r="H18" i="1"/>
  <c r="H17" i="1"/>
  <c r="H16" i="1"/>
  <c r="H3" i="1"/>
  <c r="H5" i="1"/>
  <c r="H6" i="1"/>
  <c r="H7" i="1"/>
  <c r="H8" i="1"/>
  <c r="H9" i="1"/>
  <c r="H10" i="1"/>
  <c r="H11" i="1"/>
  <c r="H12" i="1"/>
  <c r="H13" i="1"/>
  <c r="H2" i="1"/>
  <c r="H25" i="1" l="1"/>
  <c r="H21" i="1"/>
</calcChain>
</file>

<file path=xl/sharedStrings.xml><?xml version="1.0" encoding="utf-8"?>
<sst xmlns="http://schemas.openxmlformats.org/spreadsheetml/2006/main" count="156" uniqueCount="72">
  <si>
    <t>Fecha</t>
  </si>
  <si>
    <t xml:space="preserve"> Cliente</t>
  </si>
  <si>
    <t xml:space="preserve">Localidad </t>
  </si>
  <si>
    <t>Producto</t>
  </si>
  <si>
    <t>Categoria</t>
  </si>
  <si>
    <t>Cantidad</t>
  </si>
  <si>
    <t>Precio Unitario</t>
  </si>
  <si>
    <t>Total venta</t>
  </si>
  <si>
    <t>Medio de pago</t>
  </si>
  <si>
    <t>Taller El Rayo</t>
  </si>
  <si>
    <t>Mecánica Sur</t>
  </si>
  <si>
    <t>Lubri Center</t>
  </si>
  <si>
    <t>Taller Norte</t>
  </si>
  <si>
    <t>Auto Servicio BB</t>
  </si>
  <si>
    <t>Bahía Blanca</t>
  </si>
  <si>
    <t>Punta Alta</t>
  </si>
  <si>
    <t>Coronel Rosales</t>
  </si>
  <si>
    <t>Aceite 10W40</t>
  </si>
  <si>
    <t>Filtro de aceite</t>
  </si>
  <si>
    <t>Aceite 5W30</t>
  </si>
  <si>
    <t>Bujías</t>
  </si>
  <si>
    <t>Filtro de aire</t>
  </si>
  <si>
    <t>Pastillas de freno</t>
  </si>
  <si>
    <t>Lubricantes</t>
  </si>
  <si>
    <t>Mecánica</t>
  </si>
  <si>
    <t>Filtros</t>
  </si>
  <si>
    <t>Transferencia</t>
  </si>
  <si>
    <t>Crédito</t>
  </si>
  <si>
    <t>Débito</t>
  </si>
  <si>
    <t>Efectivo</t>
  </si>
  <si>
    <t>Cantidad de ventas</t>
  </si>
  <si>
    <t>Promedio de venta</t>
  </si>
  <si>
    <t>Facturacion Total de  Septimebre</t>
  </si>
  <si>
    <t>Categoría Lubricantes generaron</t>
  </si>
  <si>
    <t>Categoría Mecánica generaron</t>
  </si>
  <si>
    <t>Categoría Filtros generaron</t>
  </si>
  <si>
    <t xml:space="preserve">TOTAL </t>
  </si>
  <si>
    <t>Ventas Bahía Blanca</t>
  </si>
  <si>
    <t>Ventas Punta Alta</t>
  </si>
  <si>
    <t>Ventas Coronel Rosales</t>
  </si>
  <si>
    <t>Grand Total</t>
  </si>
  <si>
    <t>Count of Total venta</t>
  </si>
  <si>
    <t>Productos</t>
  </si>
  <si>
    <t>Total de venta</t>
  </si>
  <si>
    <t xml:space="preserve">Cantidad </t>
  </si>
  <si>
    <t>Cliente</t>
  </si>
  <si>
    <t xml:space="preserve"> Total venta</t>
  </si>
  <si>
    <t>Ticket Promedio</t>
  </si>
  <si>
    <t>Localidad</t>
  </si>
  <si>
    <t>Facturacion total%</t>
  </si>
  <si>
    <t>Total ventas</t>
  </si>
  <si>
    <t>DASHBOARD - VENTAS Y CLIENTES</t>
  </si>
  <si>
    <t>Distribuidora de lubricantes y mecánica / Septiembre 2026</t>
  </si>
  <si>
    <t>FACTURACIÓN TOTAL</t>
  </si>
  <si>
    <t>$833.700</t>
  </si>
  <si>
    <t>CANTIDAD DE VENTAS</t>
  </si>
  <si>
    <t>TICKET PROMEDIO</t>
  </si>
  <si>
    <t>$69.475</t>
  </si>
  <si>
    <t xml:space="preserve">Cantidad de clientes </t>
  </si>
  <si>
    <t>ANÁLISIS DE VENTAS Y CLIENTES</t>
  </si>
  <si>
    <t>Facturación total</t>
  </si>
  <si>
    <t>Cantidad de clientes</t>
  </si>
  <si>
    <t>Ticket promedio</t>
  </si>
  <si>
    <t>Productos destacados</t>
  </si>
  <si>
    <t xml:space="preserve">Producto con mayor facturación </t>
  </si>
  <si>
    <t>$269,500</t>
  </si>
  <si>
    <t>Producto más vendido en cantidad</t>
  </si>
  <si>
    <t>20 unidades</t>
  </si>
  <si>
    <t xml:space="preserve">Cliente con mayor facturación </t>
  </si>
  <si>
    <t>$237,700</t>
  </si>
  <si>
    <t xml:space="preserve">Localidad con mayor facturación </t>
  </si>
  <si>
    <t>$524.000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</si>
</sst>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XDR&quot;* #,##0.00_-;\-&quot;XDR&quot;* #,##0.00_-;_-&quot;XDR&quot;* &quot;-&quot;??_-;_-@_-"/>
    <numFmt numFmtId="164" formatCode="_-[$$-2C0A]\ * #,##0_-;\-[$$-2C0A]\ * #,##0_-;_-[$$-2C0A]\ * &quot;-&quot;??_-;_-@_-"/>
    <numFmt numFmtId="165" formatCode="&quot;XDR&quot;#,##0.00"/>
    <numFmt numFmtId="166" formatCode="&quot;XDR&quot;#,##0"/>
    <numFmt numFmtId="167" formatCode="_-[$$-2C0A]\ * #,##0.00_-;\-[$$-2C0A]\ * #,##0.00_-;_-[$$-2C0A]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1" applyNumberFormat="1" applyFont="1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0" borderId="2" xfId="0" applyBorder="1"/>
    <xf numFmtId="164" fontId="0" fillId="0" borderId="2" xfId="0" applyNumberFormat="1" applyBorder="1"/>
    <xf numFmtId="164" fontId="0" fillId="0" borderId="2" xfId="1" applyNumberFormat="1" applyFont="1" applyBorder="1"/>
    <xf numFmtId="0" fontId="2" fillId="0" borderId="0" xfId="0" applyFont="1"/>
    <xf numFmtId="10" fontId="0" fillId="0" borderId="0" xfId="0" applyNumberFormat="1"/>
    <xf numFmtId="9" fontId="0" fillId="0" borderId="0" xfId="0" applyNumberFormat="1"/>
    <xf numFmtId="0" fontId="3" fillId="0" borderId="0" xfId="0" applyFont="1"/>
    <xf numFmtId="0" fontId="2" fillId="0" borderId="2" xfId="0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0" fontId="0" fillId="0" borderId="0" xfId="0" applyNumberFormat="1"/>
    <xf numFmtId="164" fontId="0" fillId="0" borderId="0" xfId="0" applyNumberFormat="1" applyAlignment="1">
      <alignment horizontal="left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$-2C0A]\ * #,##0_-;\-[$$-2C0A]\ * #,##0_-;_-[$$-2C0A]\ * &quot;-&quot;??_-;_-@_-"/>
    </dxf>
    <dxf>
      <numFmt numFmtId="164" formatCode="_-[$$-2C0A]\ * #,##0_-;\-[$$-2C0A]\ * #,##0_-;_-[$$-2C0A]\ * &quot;-&quot;??_-;_-@_-"/>
    </dxf>
    <dxf>
      <numFmt numFmtId="1" formatCode="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[Proyecto_Excel_Analisis_Ventas.xlsx]Localidad!PivotTable2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Facturación</a:t>
            </a:r>
            <a:r>
              <a:rPr lang="es-419" baseline="0"/>
              <a:t> por Localidad</a:t>
            </a:r>
          </a:p>
          <a:p>
            <a:pPr>
              <a:defRPr/>
            </a:pPr>
            <a:endParaRPr lang="es-419"/>
          </a:p>
        </c:rich>
      </c:tx>
      <c:layout>
        <c:manualLayout>
          <c:xMode val="edge"/>
          <c:yMode val="edge"/>
          <c:x val="0.2989582239720035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Localidad!$B$3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Localidad!$A$4:$A$7</c:f>
              <c:strCache>
                <c:ptCount val="3"/>
                <c:pt idx="0">
                  <c:v>Bahía Blanca</c:v>
                </c:pt>
                <c:pt idx="1">
                  <c:v>Punta Alta</c:v>
                </c:pt>
                <c:pt idx="2">
                  <c:v>Coronel Rosales</c:v>
                </c:pt>
              </c:strCache>
            </c:strRef>
          </c:cat>
          <c:val>
            <c:numRef>
              <c:f>Localidad!$B$4:$B$7</c:f>
              <c:numCache>
                <c:formatCode>_-[$$-2C0A]\ * #,##0_-;\-[$$-2C0A]\ * #,##0_-;_-[$$-2C0A]\ * "-"??_-;_-@_-</c:formatCode>
                <c:ptCount val="3"/>
                <c:pt idx="0">
                  <c:v>524000</c:v>
                </c:pt>
                <c:pt idx="1">
                  <c:v>237700</c:v>
                </c:pt>
                <c:pt idx="2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0-427E-8C4F-EB503FFFA5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9464192"/>
        <c:axId val="1006458400"/>
      </c:barChart>
      <c:catAx>
        <c:axId val="108946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6458400"/>
        <c:crosses val="autoZero"/>
        <c:auto val="1"/>
        <c:lblAlgn val="ctr"/>
        <c:lblOffset val="100"/>
        <c:noMultiLvlLbl val="0"/>
      </c:catAx>
      <c:valAx>
        <c:axId val="100645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C0A]\ * #,##0_-;\-[$$-2C0A]\ * #,##0_-;_-[$$-2C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8946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Facturación</a:t>
            </a:r>
            <a:r>
              <a:rPr lang="en-US" baseline="0"/>
              <a:t> por cliente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Cliente!$B$12</c:f>
              <c:strCache>
                <c:ptCount val="1"/>
                <c:pt idx="0">
                  <c:v> Total venta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Cliente!$A$13:$A$17</c:f>
              <c:strCache>
                <c:ptCount val="5"/>
                <c:pt idx="0">
                  <c:v>Mecánica Sur</c:v>
                </c:pt>
                <c:pt idx="1">
                  <c:v>Lubri Center</c:v>
                </c:pt>
                <c:pt idx="2">
                  <c:v>Taller El Rayo</c:v>
                </c:pt>
                <c:pt idx="3">
                  <c:v>Auto Servicio BB</c:v>
                </c:pt>
                <c:pt idx="4">
                  <c:v>Taller Norte</c:v>
                </c:pt>
              </c:strCache>
            </c:strRef>
          </c:cat>
          <c:val>
            <c:numRef>
              <c:f>Cliente!$B$13:$B$17</c:f>
              <c:numCache>
                <c:formatCode>_-[$$-2C0A]\ * #,##0_-;\-[$$-2C0A]\ * #,##0_-;_-[$$-2C0A]\ * "-"??_-;_-@_-</c:formatCode>
                <c:ptCount val="5"/>
                <c:pt idx="0">
                  <c:v>237700</c:v>
                </c:pt>
                <c:pt idx="1">
                  <c:v>220500</c:v>
                </c:pt>
                <c:pt idx="2">
                  <c:v>157000</c:v>
                </c:pt>
                <c:pt idx="3">
                  <c:v>146500</c:v>
                </c:pt>
                <c:pt idx="4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A-4D2D-AB66-FC29E2604A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2034096"/>
        <c:axId val="1006494880"/>
      </c:barChart>
      <c:catAx>
        <c:axId val="113203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6494880"/>
        <c:crosses val="autoZero"/>
        <c:auto val="1"/>
        <c:lblAlgn val="ctr"/>
        <c:lblOffset val="100"/>
        <c:noMultiLvlLbl val="0"/>
      </c:catAx>
      <c:valAx>
        <c:axId val="100649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C0A]\ * #,##0_-;\-[$$-2C0A]\ * #,##0_-;_-[$$-2C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13203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[Proyecto_Excel_Analisis_Ventas.xlsx]Medio de pago!PivotTable3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Facturación</a:t>
            </a:r>
            <a:r>
              <a:rPr lang="en-US" baseline="0"/>
              <a:t> por medio de pago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'Medio de pago'!$B$3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'Medio de pago'!$A$4:$A$8</c:f>
              <c:strCache>
                <c:ptCount val="4"/>
                <c:pt idx="0">
                  <c:v>Transferencia</c:v>
                </c:pt>
                <c:pt idx="1">
                  <c:v>Crédito</c:v>
                </c:pt>
                <c:pt idx="2">
                  <c:v>Débito</c:v>
                </c:pt>
                <c:pt idx="3">
                  <c:v>Efectivo</c:v>
                </c:pt>
              </c:strCache>
            </c:strRef>
          </c:cat>
          <c:val>
            <c:numRef>
              <c:f>'Medio de pago'!$B$4:$B$8</c:f>
              <c:numCache>
                <c:formatCode>_-[$$-2C0A]\ * #,##0_-;\-[$$-2C0A]\ * #,##0_-;_-[$$-2C0A]\ * "-"??_-;_-@_-</c:formatCode>
                <c:ptCount val="4"/>
                <c:pt idx="0">
                  <c:v>377500</c:v>
                </c:pt>
                <c:pt idx="1">
                  <c:v>287000</c:v>
                </c:pt>
                <c:pt idx="2">
                  <c:v>97200</c:v>
                </c:pt>
                <c:pt idx="3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B-4C16-A3F0-94E1F7D674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6000160"/>
        <c:axId val="1006500640"/>
      </c:barChart>
      <c:catAx>
        <c:axId val="114600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6500640"/>
        <c:crosses val="autoZero"/>
        <c:auto val="1"/>
        <c:lblAlgn val="ctr"/>
        <c:lblOffset val="100"/>
        <c:noMultiLvlLbl val="0"/>
      </c:catAx>
      <c:valAx>
        <c:axId val="100650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C0A]\ * #,##0_-;\-[$$-2C0A]\ * #,##0_-;_-[$$-2C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14600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Facturació</a:t>
            </a:r>
            <a:r>
              <a:rPr lang="es-419" baseline="0"/>
              <a:t>n por producto</a:t>
            </a:r>
          </a:p>
          <a:p>
            <a:pPr>
              <a:defRPr/>
            </a:pP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Productos!$B$12</c:f>
              <c:strCache>
                <c:ptCount val="1"/>
                <c:pt idx="0">
                  <c:v>Total de venta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Productos!$A$13:$A$18</c:f>
              <c:strCache>
                <c:ptCount val="6"/>
                <c:pt idx="0">
                  <c:v>Aceite 10W40</c:v>
                </c:pt>
                <c:pt idx="1">
                  <c:v>Aceite 5W30</c:v>
                </c:pt>
                <c:pt idx="2">
                  <c:v>Bujías</c:v>
                </c:pt>
                <c:pt idx="3">
                  <c:v>Filtro de aceite</c:v>
                </c:pt>
                <c:pt idx="4">
                  <c:v>Pastillas de freno</c:v>
                </c:pt>
                <c:pt idx="5">
                  <c:v>Filtro de aire</c:v>
                </c:pt>
              </c:strCache>
            </c:strRef>
          </c:cat>
          <c:val>
            <c:numRef>
              <c:f>Productos!$B$13:$B$18</c:f>
              <c:numCache>
                <c:formatCode>_-[$$-2C0A]\ * #,##0_-;\-[$$-2C0A]\ * #,##0_-;_-[$$-2C0A]\ * "-"??_-;_-@_-</c:formatCode>
                <c:ptCount val="6"/>
                <c:pt idx="0">
                  <c:v>296000</c:v>
                </c:pt>
                <c:pt idx="1">
                  <c:v>269500</c:v>
                </c:pt>
                <c:pt idx="2">
                  <c:v>90000</c:v>
                </c:pt>
                <c:pt idx="3">
                  <c:v>79200</c:v>
                </c:pt>
                <c:pt idx="4">
                  <c:v>65000</c:v>
                </c:pt>
                <c:pt idx="5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E-497A-B991-EDA72EDC5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018256"/>
        <c:axId val="1006464160"/>
      </c:barChart>
      <c:catAx>
        <c:axId val="114601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6464160"/>
        <c:crosses val="autoZero"/>
        <c:auto val="1"/>
        <c:lblAlgn val="ctr"/>
        <c:lblOffset val="100"/>
        <c:noMultiLvlLbl val="0"/>
      </c:catAx>
      <c:valAx>
        <c:axId val="100646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C0A]\ * #,##0_-;\-[$$-2C0A]\ * #,##0_-;_-[$$-2C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14601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15630</xdr:rowOff>
    </xdr:from>
    <xdr:to>
      <xdr:col>2</xdr:col>
      <xdr:colOff>400050</xdr:colOff>
      <xdr:row>20</xdr:row>
      <xdr:rowOff>91831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B735F4-4EE8-499D-AA01-5E78364DF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8582</xdr:rowOff>
    </xdr:from>
    <xdr:to>
      <xdr:col>2</xdr:col>
      <xdr:colOff>400050</xdr:colOff>
      <xdr:row>35</xdr:row>
      <xdr:rowOff>84783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323FE8-7D79-4987-A30D-F0CB98DF7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20</xdr:row>
      <xdr:rowOff>177940</xdr:rowOff>
    </xdr:from>
    <xdr:to>
      <xdr:col>15</xdr:col>
      <xdr:colOff>304800</xdr:colOff>
      <xdr:row>35</xdr:row>
      <xdr:rowOff>65734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1E296-E169-4861-954E-E06E5894E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8583</xdr:colOff>
      <xdr:row>5</xdr:row>
      <xdr:rowOff>185929</xdr:rowOff>
    </xdr:from>
    <xdr:to>
      <xdr:col>15</xdr:col>
      <xdr:colOff>313383</xdr:colOff>
      <xdr:row>20</xdr:row>
      <xdr:rowOff>73723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2106DD-0083-4B93-A5F6-3EE323B938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ustina Pilar Jaime" refreshedDate="46297.617446643519" createdVersion="8" refreshedVersion="8" minRefreshableVersion="3" recordCount="12" xr:uid="{44B3A70C-07CA-4C8B-AA93-64304263869B}">
  <cacheSource type="worksheet">
    <worksheetSource name="Table1"/>
  </cacheSource>
  <cacheFields count="9">
    <cacheField name="Fecha" numFmtId="14">
      <sharedItems containsSemiMixedTypes="0" containsNonDate="0" containsDate="1" containsString="0" minDate="2026-09-02T00:00:00" maxDate="2026-09-16T00:00:00"/>
    </cacheField>
    <cacheField name=" Cliente" numFmtId="0">
      <sharedItems count="5">
        <s v="Taller El Rayo"/>
        <s v="Mecánica Sur"/>
        <s v="Lubri Center"/>
        <s v="Taller Norte"/>
        <s v="Auto Servicio BB"/>
      </sharedItems>
    </cacheField>
    <cacheField name="Localidad " numFmtId="0">
      <sharedItems count="3">
        <s v="Bahía Blanca"/>
        <s v="Punta Alta"/>
        <s v="Coronel Rosales"/>
      </sharedItems>
    </cacheField>
    <cacheField name="Producto" numFmtId="0">
      <sharedItems count="6">
        <s v="Aceite 10W40"/>
        <s v="Filtro de aceite"/>
        <s v="Aceite 5W30"/>
        <s v="Bujías"/>
        <s v="Filtro de aire"/>
        <s v="Pastillas de freno"/>
      </sharedItems>
    </cacheField>
    <cacheField name="Categoria" numFmtId="0">
      <sharedItems/>
    </cacheField>
    <cacheField name="Cantidad" numFmtId="1">
      <sharedItems containsSemiMixedTypes="0" containsString="0" containsNumber="1" containsInteger="1" minValue="2" maxValue="12"/>
    </cacheField>
    <cacheField name="Precio Unitario" numFmtId="164">
      <sharedItems containsSemiMixedTypes="0" containsString="0" containsNumber="1" containsInteger="1" minValue="4500" maxValue="32500"/>
    </cacheField>
    <cacheField name="Total venta" numFmtId="164">
      <sharedItems containsSemiMixedTypes="0" containsString="0" containsNumber="1" containsInteger="1" minValue="34000" maxValue="147000"/>
    </cacheField>
    <cacheField name="Medio de pago" numFmtId="0">
      <sharedItems count="4">
        <s v="Transferencia"/>
        <s v="Débito"/>
        <s v="Efectivo"/>
        <s v="Crédi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6-09-02T00:00:00"/>
    <x v="0"/>
    <x v="0"/>
    <x v="0"/>
    <s v="Lubricantes"/>
    <n v="4"/>
    <n v="18500"/>
    <n v="74000"/>
    <x v="0"/>
  </r>
  <r>
    <d v="2026-09-02T00:00:00"/>
    <x v="1"/>
    <x v="1"/>
    <x v="1"/>
    <s v="Filtros"/>
    <n v="6"/>
    <n v="7200"/>
    <n v="43200"/>
    <x v="1"/>
  </r>
  <r>
    <d v="2026-09-03T00:00:00"/>
    <x v="2"/>
    <x v="0"/>
    <x v="2"/>
    <s v="Lubricantes"/>
    <n v="3"/>
    <n v="24500"/>
    <n v="73500"/>
    <x v="0"/>
  </r>
  <r>
    <d v="2026-09-04T00:00:00"/>
    <x v="3"/>
    <x v="2"/>
    <x v="3"/>
    <s v="Mecánica"/>
    <n v="8"/>
    <n v="4500"/>
    <n v="36000"/>
    <x v="2"/>
  </r>
  <r>
    <d v="2026-09-05T00:00:00"/>
    <x v="4"/>
    <x v="0"/>
    <x v="0"/>
    <s v="Lubricantes"/>
    <n v="5"/>
    <n v="18500"/>
    <n v="92500"/>
    <x v="3"/>
  </r>
  <r>
    <d v="2026-09-06T00:00:00"/>
    <x v="0"/>
    <x v="0"/>
    <x v="4"/>
    <s v="Filtros"/>
    <n v="4"/>
    <n v="8500"/>
    <n v="34000"/>
    <x v="0"/>
  </r>
  <r>
    <d v="2026-09-08T00:00:00"/>
    <x v="1"/>
    <x v="1"/>
    <x v="5"/>
    <s v="Mecánica"/>
    <n v="2"/>
    <n v="32500"/>
    <n v="65000"/>
    <x v="3"/>
  </r>
  <r>
    <d v="2026-09-09T00:00:00"/>
    <x v="2"/>
    <x v="0"/>
    <x v="2"/>
    <s v="Lubricantes"/>
    <n v="6"/>
    <n v="24500"/>
    <n v="147000"/>
    <x v="0"/>
  </r>
  <r>
    <d v="2026-09-10T00:00:00"/>
    <x v="3"/>
    <x v="2"/>
    <x v="1"/>
    <s v="Filtros"/>
    <n v="5"/>
    <n v="7200"/>
    <n v="36000"/>
    <x v="2"/>
  </r>
  <r>
    <d v="2026-09-11T00:00:00"/>
    <x v="4"/>
    <x v="0"/>
    <x v="3"/>
    <s v="Mecánica"/>
    <n v="12"/>
    <n v="4500"/>
    <n v="54000"/>
    <x v="1"/>
  </r>
  <r>
    <d v="2026-09-13T00:00:00"/>
    <x v="0"/>
    <x v="0"/>
    <x v="2"/>
    <s v="Lubricantes"/>
    <n v="2"/>
    <n v="24500"/>
    <n v="49000"/>
    <x v="0"/>
  </r>
  <r>
    <d v="2026-09-15T00:00:00"/>
    <x v="1"/>
    <x v="1"/>
    <x v="0"/>
    <s v="Lubricantes"/>
    <n v="7"/>
    <n v="18500"/>
    <n v="1295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8A0B4-389A-4B15-9DFE-A510DFE921E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os">
  <location ref="A3:D10" firstHeaderRow="0" firstDataRow="1" firstDataCol="1"/>
  <pivotFields count="9">
    <pivotField numFmtId="14" showAll="0"/>
    <pivotField showAll="0"/>
    <pivotField showAll="0"/>
    <pivotField axis="axisRow" showAll="0" sortType="descending">
      <items count="7">
        <item x="0"/>
        <item x="2"/>
        <item x="3"/>
        <item x="1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numFmtId="1" showAll="0"/>
    <pivotField dataField="1" numFmtId="164" showAll="0"/>
    <pivotField dataField="1" numFmtId="164" showAll="0"/>
    <pivotField showAll="0"/>
  </pivotFields>
  <rowFields count="1">
    <field x="3"/>
  </rowFields>
  <rowItems count="7">
    <i>
      <x v="1"/>
    </i>
    <i>
      <x/>
    </i>
    <i>
      <x v="5"/>
    </i>
    <i>
      <x v="3"/>
    </i>
    <i>
      <x v="2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de venta" fld="7" baseField="0" baseItem="0" numFmtId="164"/>
    <dataField name="Cantidad " fld="5" baseField="0" baseItem="0" numFmtId="1"/>
    <dataField name="Precio Unitario" fld="6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0169A-C056-4256-BB83-6856EE7275F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liente">
  <location ref="A3:C9" firstHeaderRow="0" firstDataRow="1" firstDataCol="1"/>
  <pivotFields count="9">
    <pivotField numFmtId="14" showAll="0"/>
    <pivotField axis="axisRow" showAll="0" sortType="descending">
      <items count="6">
        <item x="4"/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numFmtId="164" showAll="0"/>
    <pivotField dataField="1" numFmtId="164" showAll="0"/>
    <pivotField showAll="0"/>
  </pivotFields>
  <rowFields count="1">
    <field x="1"/>
  </rowFields>
  <rowItems count="6">
    <i>
      <x v="2"/>
    </i>
    <i>
      <x v="1"/>
    </i>
    <i>
      <x v="3"/>
    </i>
    <i>
      <x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 Total venta" fld="7" baseField="0" baseItem="0" numFmtId="164"/>
    <dataField name="Count of Total venta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66F10-86E1-4302-B612-4896841B0D3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Localidad">
  <location ref="A3:B7" firstHeaderRow="1" firstDataRow="1" firstDataCol="1"/>
  <pivotFields count="9">
    <pivotField numFmtId="14"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numFmtId="164" showAll="0"/>
    <pivotField dataField="1" numFmtId="164" showAll="0"/>
    <pivotField showAll="0"/>
  </pivotFields>
  <rowFields count="1">
    <field x="2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 Total venta" fld="7" baseField="0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274B9-B499-430B-9523-B6EB6350778B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edio de pago">
  <location ref="A3:B8" firstHeaderRow="1" firstDataRow="1" firstDataCol="1"/>
  <pivotFields count="9">
    <pivotField numFmtId="14" showAll="0"/>
    <pivotField showAll="0"/>
    <pivotField showAll="0"/>
    <pivotField showAll="0"/>
    <pivotField showAll="0"/>
    <pivotField numFmtId="1" showAll="0"/>
    <pivotField numFmtId="164" showAll="0"/>
    <pivotField dataField="1" numFmtId="164" showAll="0"/>
    <pivotField axis="axisRow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Total ventas" fld="7" baseField="0" baseItem="0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4003F-1594-41E2-B44B-3E13B841987B}" name="Table1" displayName="Table1" ref="A1:I13" totalsRowShown="0">
  <autoFilter ref="A1:I13" xr:uid="{2794003F-1594-41E2-B44B-3E13B841987B}"/>
  <tableColumns count="9">
    <tableColumn id="1" xr3:uid="{8CC9DBBC-58D5-4F90-8572-0B408BDF42AC}" name="Fecha" dataDxfId="3"/>
    <tableColumn id="2" xr3:uid="{3FB2C908-EE41-4F84-9A7F-927DEFE5A12F}" name=" Cliente"/>
    <tableColumn id="3" xr3:uid="{6D409CE4-6D2E-4F7D-AE96-C9D33781323E}" name="Localidad "/>
    <tableColumn id="4" xr3:uid="{C304764C-25C7-4B23-B39F-40F7BEF84DDE}" name="Producto"/>
    <tableColumn id="5" xr3:uid="{6373D942-8FE2-4EF1-8B23-56CC1B6E37FE}" name="Categoria"/>
    <tableColumn id="6" xr3:uid="{CD9F2E00-CE29-45FB-82F9-79EB241F7021}" name="Cantidad" dataDxfId="2"/>
    <tableColumn id="7" xr3:uid="{C0B20321-1B6C-4673-AE11-F86C707B807E}" name="Precio Unitario" dataDxfId="1"/>
    <tableColumn id="8" xr3:uid="{0DBD4258-9F2D-4EBA-9AAA-9515896AC00E}" name="Total venta" dataDxfId="0" dataCellStyle="Currency">
      <calculatedColumnFormula>G2*F2</calculatedColumnFormula>
    </tableColumn>
    <tableColumn id="9" xr3:uid="{DCA0B9F0-580A-43D4-9170-5439268BDB6C}" name="Medio de pa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C3E0-A305-4177-B6F6-248DD6222DE8}">
  <dimension ref="A1:I25"/>
  <sheetViews>
    <sheetView workbookViewId="0">
      <selection activeCell="A17" sqref="A17"/>
    </sheetView>
  </sheetViews>
  <sheetFormatPr defaultRowHeight="15" x14ac:dyDescent="0.25"/>
  <cols>
    <col min="1" max="1" width="19.5703125" bestFit="1" customWidth="1"/>
    <col min="2" max="2" width="15.140625" bestFit="1" customWidth="1"/>
    <col min="3" max="3" width="15.42578125" bestFit="1" customWidth="1"/>
    <col min="4" max="4" width="16.42578125" bestFit="1" customWidth="1"/>
    <col min="5" max="5" width="11.85546875" customWidth="1"/>
    <col min="6" max="6" width="11.28515625" customWidth="1"/>
    <col min="7" max="7" width="35.28515625" bestFit="1" customWidth="1"/>
    <col min="8" max="8" width="15.28515625" bestFit="1" customWidth="1"/>
    <col min="9" max="9" width="16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s="4" t="s">
        <v>6</v>
      </c>
      <c r="H1" s="4" t="s">
        <v>7</v>
      </c>
      <c r="I1" t="s">
        <v>8</v>
      </c>
    </row>
    <row r="2" spans="1:9" x14ac:dyDescent="0.25">
      <c r="A2" s="1">
        <v>46267</v>
      </c>
      <c r="B2" t="s">
        <v>9</v>
      </c>
      <c r="C2" t="s">
        <v>14</v>
      </c>
      <c r="D2" t="s">
        <v>17</v>
      </c>
      <c r="E2" t="s">
        <v>23</v>
      </c>
      <c r="F2" s="5">
        <v>4</v>
      </c>
      <c r="G2" s="4">
        <v>18500</v>
      </c>
      <c r="H2" s="3">
        <f>G2*F2</f>
        <v>74000</v>
      </c>
      <c r="I2" t="s">
        <v>26</v>
      </c>
    </row>
    <row r="3" spans="1:9" x14ac:dyDescent="0.25">
      <c r="A3" s="1">
        <v>46267</v>
      </c>
      <c r="B3" t="s">
        <v>10</v>
      </c>
      <c r="C3" t="s">
        <v>15</v>
      </c>
      <c r="D3" t="s">
        <v>18</v>
      </c>
      <c r="E3" t="s">
        <v>25</v>
      </c>
      <c r="F3" s="5">
        <v>6</v>
      </c>
      <c r="G3" s="4">
        <v>7200</v>
      </c>
      <c r="H3" s="3">
        <f t="shared" ref="H3:H13" si="0">G3*F3</f>
        <v>43200</v>
      </c>
      <c r="I3" t="s">
        <v>28</v>
      </c>
    </row>
    <row r="4" spans="1:9" x14ac:dyDescent="0.25">
      <c r="A4" s="1">
        <v>46268</v>
      </c>
      <c r="B4" t="s">
        <v>11</v>
      </c>
      <c r="C4" t="s">
        <v>14</v>
      </c>
      <c r="D4" t="s">
        <v>19</v>
      </c>
      <c r="E4" s="2" t="s">
        <v>23</v>
      </c>
      <c r="F4" s="5">
        <v>3</v>
      </c>
      <c r="G4" s="4">
        <v>24500</v>
      </c>
      <c r="H4" s="3">
        <f>G4*F4</f>
        <v>73500</v>
      </c>
      <c r="I4" t="s">
        <v>26</v>
      </c>
    </row>
    <row r="5" spans="1:9" x14ac:dyDescent="0.25">
      <c r="A5" s="1">
        <v>46269</v>
      </c>
      <c r="B5" t="s">
        <v>12</v>
      </c>
      <c r="C5" t="s">
        <v>16</v>
      </c>
      <c r="D5" t="s">
        <v>20</v>
      </c>
      <c r="E5" s="2" t="s">
        <v>24</v>
      </c>
      <c r="F5" s="5">
        <v>8</v>
      </c>
      <c r="G5" s="4">
        <v>4500</v>
      </c>
      <c r="H5" s="3">
        <f t="shared" si="0"/>
        <v>36000</v>
      </c>
      <c r="I5" t="s">
        <v>29</v>
      </c>
    </row>
    <row r="6" spans="1:9" x14ac:dyDescent="0.25">
      <c r="A6" s="1">
        <v>46270</v>
      </c>
      <c r="B6" t="s">
        <v>13</v>
      </c>
      <c r="C6" t="s">
        <v>14</v>
      </c>
      <c r="D6" t="s">
        <v>17</v>
      </c>
      <c r="E6" t="s">
        <v>23</v>
      </c>
      <c r="F6" s="5">
        <v>5</v>
      </c>
      <c r="G6" s="4">
        <v>18500</v>
      </c>
      <c r="H6" s="3">
        <f t="shared" si="0"/>
        <v>92500</v>
      </c>
      <c r="I6" t="s">
        <v>27</v>
      </c>
    </row>
    <row r="7" spans="1:9" x14ac:dyDescent="0.25">
      <c r="A7" s="1">
        <v>46271</v>
      </c>
      <c r="B7" t="s">
        <v>9</v>
      </c>
      <c r="C7" t="s">
        <v>14</v>
      </c>
      <c r="D7" t="s">
        <v>21</v>
      </c>
      <c r="E7" t="s">
        <v>25</v>
      </c>
      <c r="F7" s="5">
        <v>4</v>
      </c>
      <c r="G7" s="4">
        <v>8500</v>
      </c>
      <c r="H7" s="3">
        <f t="shared" si="0"/>
        <v>34000</v>
      </c>
      <c r="I7" t="s">
        <v>26</v>
      </c>
    </row>
    <row r="8" spans="1:9" x14ac:dyDescent="0.25">
      <c r="A8" s="1">
        <v>46273</v>
      </c>
      <c r="B8" t="s">
        <v>10</v>
      </c>
      <c r="C8" t="s">
        <v>15</v>
      </c>
      <c r="D8" t="s">
        <v>22</v>
      </c>
      <c r="E8" t="s">
        <v>24</v>
      </c>
      <c r="F8" s="5">
        <v>2</v>
      </c>
      <c r="G8" s="4">
        <v>32500</v>
      </c>
      <c r="H8" s="3">
        <f t="shared" si="0"/>
        <v>65000</v>
      </c>
      <c r="I8" t="s">
        <v>27</v>
      </c>
    </row>
    <row r="9" spans="1:9" x14ac:dyDescent="0.25">
      <c r="A9" s="1">
        <v>46274</v>
      </c>
      <c r="B9" t="s">
        <v>11</v>
      </c>
      <c r="C9" t="s">
        <v>14</v>
      </c>
      <c r="D9" t="s">
        <v>19</v>
      </c>
      <c r="E9" t="s">
        <v>23</v>
      </c>
      <c r="F9" s="5">
        <v>6</v>
      </c>
      <c r="G9" s="4">
        <v>24500</v>
      </c>
      <c r="H9" s="3">
        <f t="shared" si="0"/>
        <v>147000</v>
      </c>
      <c r="I9" t="s">
        <v>26</v>
      </c>
    </row>
    <row r="10" spans="1:9" x14ac:dyDescent="0.25">
      <c r="A10" s="1">
        <v>46275</v>
      </c>
      <c r="B10" t="s">
        <v>12</v>
      </c>
      <c r="C10" t="s">
        <v>16</v>
      </c>
      <c r="D10" t="s">
        <v>18</v>
      </c>
      <c r="E10" t="s">
        <v>25</v>
      </c>
      <c r="F10" s="5">
        <v>5</v>
      </c>
      <c r="G10" s="4">
        <v>7200</v>
      </c>
      <c r="H10" s="3">
        <f t="shared" si="0"/>
        <v>36000</v>
      </c>
      <c r="I10" t="s">
        <v>29</v>
      </c>
    </row>
    <row r="11" spans="1:9" x14ac:dyDescent="0.25">
      <c r="A11" s="1">
        <v>46276</v>
      </c>
      <c r="B11" t="s">
        <v>13</v>
      </c>
      <c r="C11" t="s">
        <v>14</v>
      </c>
      <c r="D11" t="s">
        <v>20</v>
      </c>
      <c r="E11" t="s">
        <v>24</v>
      </c>
      <c r="F11" s="5">
        <v>12</v>
      </c>
      <c r="G11" s="4">
        <v>4500</v>
      </c>
      <c r="H11" s="3">
        <f t="shared" si="0"/>
        <v>54000</v>
      </c>
      <c r="I11" t="s">
        <v>28</v>
      </c>
    </row>
    <row r="12" spans="1:9" x14ac:dyDescent="0.25">
      <c r="A12" s="1">
        <v>46278</v>
      </c>
      <c r="B12" t="s">
        <v>9</v>
      </c>
      <c r="C12" t="s">
        <v>14</v>
      </c>
      <c r="D12" t="s">
        <v>19</v>
      </c>
      <c r="E12" t="s">
        <v>23</v>
      </c>
      <c r="F12" s="5">
        <v>2</v>
      </c>
      <c r="G12" s="4">
        <v>24500</v>
      </c>
      <c r="H12" s="3">
        <f t="shared" si="0"/>
        <v>49000</v>
      </c>
      <c r="I12" t="s">
        <v>26</v>
      </c>
    </row>
    <row r="13" spans="1:9" x14ac:dyDescent="0.25">
      <c r="A13" s="1">
        <v>46280</v>
      </c>
      <c r="B13" t="s">
        <v>10</v>
      </c>
      <c r="C13" t="s">
        <v>15</v>
      </c>
      <c r="D13" t="s">
        <v>17</v>
      </c>
      <c r="E13" t="s">
        <v>23</v>
      </c>
      <c r="F13" s="5">
        <v>7</v>
      </c>
      <c r="G13" s="4">
        <v>18500</v>
      </c>
      <c r="H13" s="3">
        <f t="shared" si="0"/>
        <v>129500</v>
      </c>
      <c r="I13" t="s">
        <v>27</v>
      </c>
    </row>
    <row r="15" spans="1:9" x14ac:dyDescent="0.25">
      <c r="G15" s="9" t="s">
        <v>32</v>
      </c>
      <c r="H15" s="10">
        <f>SUM(Table1[Total venta])</f>
        <v>833700</v>
      </c>
    </row>
    <row r="16" spans="1:9" x14ac:dyDescent="0.25">
      <c r="A16" t="s">
        <v>58</v>
      </c>
      <c r="G16" s="9" t="s">
        <v>30</v>
      </c>
      <c r="H16" s="9">
        <f>COUNTA(Table1[Total venta])</f>
        <v>12</v>
      </c>
    </row>
    <row r="17" spans="1:8" x14ac:dyDescent="0.25">
      <c r="A17">
        <f>COUNTA(_xlfn.UNIQUE(B2:B13))</f>
        <v>5</v>
      </c>
      <c r="G17" s="9" t="s">
        <v>31</v>
      </c>
      <c r="H17" s="10">
        <f>AVERAGE(H2:H13)</f>
        <v>69475</v>
      </c>
    </row>
    <row r="18" spans="1:8" x14ac:dyDescent="0.25">
      <c r="G18" s="9" t="s">
        <v>33</v>
      </c>
      <c r="H18" s="11">
        <f>SUMIF(E2:E13,"Lubricantes",Table1[Total venta])</f>
        <v>565500</v>
      </c>
    </row>
    <row r="19" spans="1:8" x14ac:dyDescent="0.25">
      <c r="G19" s="9" t="s">
        <v>34</v>
      </c>
      <c r="H19" s="11">
        <f>SUMIF(E2:E13,"Mecánica",Table1[Total venta])</f>
        <v>155000</v>
      </c>
    </row>
    <row r="20" spans="1:8" x14ac:dyDescent="0.25">
      <c r="G20" s="9" t="s">
        <v>35</v>
      </c>
      <c r="H20" s="11">
        <f>SUMIF(E2:E13,"Filtros",Table1[Total venta])</f>
        <v>113200</v>
      </c>
    </row>
    <row r="21" spans="1:8" x14ac:dyDescent="0.25">
      <c r="G21" s="9" t="s">
        <v>36</v>
      </c>
      <c r="H21" s="10">
        <f>SUM(H18:H20)</f>
        <v>833700</v>
      </c>
    </row>
    <row r="22" spans="1:8" x14ac:dyDescent="0.25">
      <c r="G22" s="9" t="s">
        <v>37</v>
      </c>
      <c r="H22" s="10">
        <f>SUMIF(Table1[[Localidad ]],"Bahía Blanca",Table1[Total venta])</f>
        <v>524000</v>
      </c>
    </row>
    <row r="23" spans="1:8" x14ac:dyDescent="0.25">
      <c r="G23" s="9" t="s">
        <v>38</v>
      </c>
      <c r="H23" s="10">
        <f>SUMIF(Table1[[Localidad ]],"Punta Alta",Table1[Total venta])</f>
        <v>237700</v>
      </c>
    </row>
    <row r="24" spans="1:8" x14ac:dyDescent="0.25">
      <c r="G24" s="9" t="s">
        <v>39</v>
      </c>
      <c r="H24" s="10">
        <f>SUMIF(Table1[[Localidad ]],"Coronel Rosales",Table1[Total venta])</f>
        <v>72000</v>
      </c>
    </row>
    <row r="25" spans="1:8" x14ac:dyDescent="0.25">
      <c r="G25" s="9" t="s">
        <v>36</v>
      </c>
      <c r="H25" s="10">
        <f>SUM(H22:H24)</f>
        <v>833700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8B7F-A6E4-4CC3-93D7-3B4BE4750C5F}">
  <dimension ref="A1:G19"/>
  <sheetViews>
    <sheetView tabSelected="1" zoomScale="96" zoomScaleNormal="96" workbookViewId="0">
      <selection activeCell="A13" sqref="A13"/>
    </sheetView>
  </sheetViews>
  <sheetFormatPr defaultRowHeight="15" x14ac:dyDescent="0.25"/>
  <cols>
    <col min="1" max="1" width="32.5703125" bestFit="1" customWidth="1"/>
    <col min="2" max="2" width="11.7109375" bestFit="1" customWidth="1"/>
    <col min="3" max="3" width="18" bestFit="1" customWidth="1"/>
    <col min="5" max="5" width="19.140625" bestFit="1" customWidth="1"/>
    <col min="6" max="6" width="11.140625" customWidth="1"/>
    <col min="7" max="7" width="15.28515625" bestFit="1" customWidth="1"/>
  </cols>
  <sheetData>
    <row r="1" spans="1:7" ht="21" x14ac:dyDescent="0.25">
      <c r="A1" s="22" t="s">
        <v>59</v>
      </c>
      <c r="B1" s="23"/>
      <c r="C1" s="23"/>
      <c r="D1" s="23"/>
    </row>
    <row r="3" spans="1:7" x14ac:dyDescent="0.25">
      <c r="A3" s="12" t="s">
        <v>60</v>
      </c>
      <c r="C3" s="12" t="s">
        <v>30</v>
      </c>
      <c r="E3" s="12" t="s">
        <v>61</v>
      </c>
      <c r="F3" s="12"/>
      <c r="G3" s="12" t="s">
        <v>62</v>
      </c>
    </row>
    <row r="4" spans="1:7" x14ac:dyDescent="0.25">
      <c r="A4" s="21">
        <f>SUM(Ventas!H2:H13)</f>
        <v>833700</v>
      </c>
      <c r="C4">
        <f>COUNTA(Ventas!B2:B13)</f>
        <v>12</v>
      </c>
      <c r="E4">
        <f>COUNTA(_xlfn.UNIQUE(Table1[[ Cliente]]))</f>
        <v>5</v>
      </c>
      <c r="G4" s="4">
        <f>A4/C4</f>
        <v>69475</v>
      </c>
    </row>
    <row r="7" spans="1:7" ht="15.75" x14ac:dyDescent="0.25">
      <c r="A7" s="28" t="s">
        <v>63</v>
      </c>
    </row>
    <row r="9" spans="1:7" x14ac:dyDescent="0.25">
      <c r="A9" s="12" t="s">
        <v>64</v>
      </c>
    </row>
    <row r="10" spans="1:7" x14ac:dyDescent="0.25">
      <c r="A10" s="24" t="s">
        <v>19</v>
      </c>
      <c r="B10" s="26" t="s">
        <v>65</v>
      </c>
    </row>
    <row r="11" spans="1:7" x14ac:dyDescent="0.25">
      <c r="B11" s="24"/>
    </row>
    <row r="12" spans="1:7" x14ac:dyDescent="0.25">
      <c r="A12" s="25" t="s">
        <v>66</v>
      </c>
      <c r="B12" s="24"/>
    </row>
    <row r="13" spans="1:7" x14ac:dyDescent="0.25">
      <c r="A13" s="24" t="s">
        <v>20</v>
      </c>
      <c r="B13" s="24" t="s">
        <v>67</v>
      </c>
    </row>
    <row r="14" spans="1:7" x14ac:dyDescent="0.25">
      <c r="B14" s="24"/>
    </row>
    <row r="15" spans="1:7" x14ac:dyDescent="0.25">
      <c r="A15" s="25" t="s">
        <v>68</v>
      </c>
      <c r="B15" s="24"/>
    </row>
    <row r="16" spans="1:7" x14ac:dyDescent="0.25">
      <c r="A16" s="24" t="s">
        <v>10</v>
      </c>
      <c r="B16" s="27" t="s">
        <v>69</v>
      </c>
    </row>
    <row r="17" spans="1:2" x14ac:dyDescent="0.25">
      <c r="B17" s="24"/>
    </row>
    <row r="18" spans="1:2" x14ac:dyDescent="0.25">
      <c r="A18" s="12" t="s">
        <v>70</v>
      </c>
      <c r="B18" s="24"/>
    </row>
    <row r="19" spans="1:2" x14ac:dyDescent="0.25">
      <c r="A19" s="24" t="s">
        <v>14</v>
      </c>
      <c r="B19" s="26" t="s">
        <v>71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3D08-BA7E-4E52-801B-104E055EAC53}">
  <dimension ref="A3:D18"/>
  <sheetViews>
    <sheetView workbookViewId="0">
      <selection activeCell="D16" sqref="D16"/>
    </sheetView>
  </sheetViews>
  <sheetFormatPr defaultRowHeight="15" x14ac:dyDescent="0.25"/>
  <cols>
    <col min="1" max="1" width="16.42578125" bestFit="1" customWidth="1"/>
    <col min="2" max="2" width="13.7109375" bestFit="1" customWidth="1"/>
    <col min="3" max="3" width="9.5703125" bestFit="1" customWidth="1"/>
    <col min="4" max="4" width="14.42578125" bestFit="1" customWidth="1"/>
  </cols>
  <sheetData>
    <row r="3" spans="1:4" x14ac:dyDescent="0.25">
      <c r="A3" s="6" t="s">
        <v>42</v>
      </c>
      <c r="B3" t="s">
        <v>43</v>
      </c>
      <c r="C3" t="s">
        <v>44</v>
      </c>
      <c r="D3" t="s">
        <v>6</v>
      </c>
    </row>
    <row r="4" spans="1:4" x14ac:dyDescent="0.25">
      <c r="A4" s="7" t="s">
        <v>19</v>
      </c>
      <c r="B4" s="4">
        <v>269500</v>
      </c>
      <c r="C4" s="5">
        <v>11</v>
      </c>
      <c r="D4" s="4">
        <v>73500</v>
      </c>
    </row>
    <row r="5" spans="1:4" x14ac:dyDescent="0.25">
      <c r="A5" s="7" t="s">
        <v>17</v>
      </c>
      <c r="B5" s="4">
        <v>296000</v>
      </c>
      <c r="C5" s="5">
        <v>16</v>
      </c>
      <c r="D5" s="4">
        <v>55500</v>
      </c>
    </row>
    <row r="6" spans="1:4" x14ac:dyDescent="0.25">
      <c r="A6" s="7" t="s">
        <v>22</v>
      </c>
      <c r="B6" s="4">
        <v>65000</v>
      </c>
      <c r="C6" s="5">
        <v>2</v>
      </c>
      <c r="D6" s="4">
        <v>32500</v>
      </c>
    </row>
    <row r="7" spans="1:4" x14ac:dyDescent="0.25">
      <c r="A7" s="7" t="s">
        <v>18</v>
      </c>
      <c r="B7" s="4">
        <v>79200</v>
      </c>
      <c r="C7" s="5">
        <v>11</v>
      </c>
      <c r="D7" s="4">
        <v>14400</v>
      </c>
    </row>
    <row r="8" spans="1:4" x14ac:dyDescent="0.25">
      <c r="A8" s="7" t="s">
        <v>20</v>
      </c>
      <c r="B8" s="4">
        <v>90000</v>
      </c>
      <c r="C8" s="5">
        <v>20</v>
      </c>
      <c r="D8" s="4">
        <v>9000</v>
      </c>
    </row>
    <row r="9" spans="1:4" x14ac:dyDescent="0.25">
      <c r="A9" s="7" t="s">
        <v>21</v>
      </c>
      <c r="B9" s="4">
        <v>34000</v>
      </c>
      <c r="C9" s="5">
        <v>4</v>
      </c>
      <c r="D9" s="4">
        <v>8500</v>
      </c>
    </row>
    <row r="10" spans="1:4" x14ac:dyDescent="0.25">
      <c r="A10" s="7" t="s">
        <v>40</v>
      </c>
      <c r="B10" s="4">
        <v>833700</v>
      </c>
      <c r="C10" s="5">
        <v>64</v>
      </c>
      <c r="D10" s="4">
        <v>193400</v>
      </c>
    </row>
    <row r="12" spans="1:4" x14ac:dyDescent="0.25">
      <c r="A12" s="8" t="s">
        <v>42</v>
      </c>
      <c r="B12" s="8" t="s">
        <v>43</v>
      </c>
    </row>
    <row r="13" spans="1:4" x14ac:dyDescent="0.25">
      <c r="A13" s="7" t="s">
        <v>17</v>
      </c>
      <c r="B13" s="4">
        <v>296000</v>
      </c>
    </row>
    <row r="14" spans="1:4" x14ac:dyDescent="0.25">
      <c r="A14" s="7" t="s">
        <v>19</v>
      </c>
      <c r="B14" s="4">
        <v>269500</v>
      </c>
    </row>
    <row r="15" spans="1:4" x14ac:dyDescent="0.25">
      <c r="A15" s="7" t="s">
        <v>20</v>
      </c>
      <c r="B15" s="4">
        <v>90000</v>
      </c>
    </row>
    <row r="16" spans="1:4" x14ac:dyDescent="0.25">
      <c r="A16" s="7" t="s">
        <v>18</v>
      </c>
      <c r="B16" s="4">
        <v>79200</v>
      </c>
    </row>
    <row r="17" spans="1:2" x14ac:dyDescent="0.25">
      <c r="A17" s="7" t="s">
        <v>22</v>
      </c>
      <c r="B17" s="4">
        <v>65000</v>
      </c>
    </row>
    <row r="18" spans="1:2" x14ac:dyDescent="0.25">
      <c r="A18" s="7" t="s">
        <v>21</v>
      </c>
      <c r="B18" s="4">
        <v>34000</v>
      </c>
    </row>
  </sheetData>
  <sortState xmlns:xlrd2="http://schemas.microsoft.com/office/spreadsheetml/2017/richdata2" ref="A13:B18">
    <sortCondition descending="1" ref="B16:B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C3C9-19CB-4334-9A46-EE3D2C475555}">
  <dimension ref="A3:D17"/>
  <sheetViews>
    <sheetView zoomScale="96" zoomScaleNormal="96" workbookViewId="0">
      <selection activeCell="B16" sqref="B16"/>
    </sheetView>
  </sheetViews>
  <sheetFormatPr defaultRowHeight="15" x14ac:dyDescent="0.25"/>
  <cols>
    <col min="1" max="1" width="15.140625" bestFit="1" customWidth="1"/>
    <col min="2" max="2" width="11.28515625" bestFit="1" customWidth="1"/>
    <col min="3" max="3" width="19.42578125" bestFit="1" customWidth="1"/>
    <col min="4" max="4" width="14.28515625" bestFit="1" customWidth="1"/>
  </cols>
  <sheetData>
    <row r="3" spans="1:4" x14ac:dyDescent="0.25">
      <c r="A3" s="6" t="s">
        <v>45</v>
      </c>
      <c r="B3" t="s">
        <v>46</v>
      </c>
      <c r="C3" t="s">
        <v>41</v>
      </c>
      <c r="D3" t="s">
        <v>47</v>
      </c>
    </row>
    <row r="4" spans="1:4" x14ac:dyDescent="0.25">
      <c r="A4" s="7" t="s">
        <v>10</v>
      </c>
      <c r="B4" s="4">
        <v>237700</v>
      </c>
      <c r="C4" s="20">
        <v>3</v>
      </c>
      <c r="D4" s="3">
        <f>GETPIVOTDATA(" Total venta",$A$3," Cliente","Mecánica Sur")/GETPIVOTDATA("Count of Total venta",$A$3," Cliente","Mecánica Sur")</f>
        <v>79233.333333333328</v>
      </c>
    </row>
    <row r="5" spans="1:4" x14ac:dyDescent="0.25">
      <c r="A5" s="7" t="s">
        <v>11</v>
      </c>
      <c r="B5" s="4">
        <v>220500</v>
      </c>
      <c r="C5" s="20">
        <v>2</v>
      </c>
      <c r="D5" s="3">
        <f>GETPIVOTDATA(" Total venta",$A$3," Cliente","Lubri Center")/GETPIVOTDATA("Count of Total venta",$A$3," Cliente","Lubri Center")</f>
        <v>110250</v>
      </c>
    </row>
    <row r="6" spans="1:4" x14ac:dyDescent="0.25">
      <c r="A6" s="7" t="s">
        <v>9</v>
      </c>
      <c r="B6" s="4">
        <v>157000</v>
      </c>
      <c r="C6" s="20">
        <v>3</v>
      </c>
      <c r="D6" s="3">
        <f>GETPIVOTDATA(" Total venta",$A$3," Cliente","Taller El Rayo")/GETPIVOTDATA("Count of Total venta",$A$3," Cliente","Taller El Rayo")</f>
        <v>52333.333333333336</v>
      </c>
    </row>
    <row r="7" spans="1:4" x14ac:dyDescent="0.25">
      <c r="A7" s="7" t="s">
        <v>13</v>
      </c>
      <c r="B7" s="4">
        <v>146500</v>
      </c>
      <c r="C7" s="20">
        <v>2</v>
      </c>
      <c r="D7" s="3">
        <f>GETPIVOTDATA(" Total venta",$A$3," Cliente","Auto Servicio BB")/GETPIVOTDATA("Count of Total venta",$A$3," Cliente","Auto Servicio BB")</f>
        <v>73250</v>
      </c>
    </row>
    <row r="8" spans="1:4" x14ac:dyDescent="0.25">
      <c r="A8" s="7" t="s">
        <v>12</v>
      </c>
      <c r="B8" s="4">
        <v>72000</v>
      </c>
      <c r="C8" s="20">
        <v>2</v>
      </c>
      <c r="D8" s="3">
        <f>GETPIVOTDATA(" Total venta",$A$3," Cliente","Taller Norte")/GETPIVOTDATA("Count of Total venta",$A$3," Cliente","Taller Norte")</f>
        <v>36000</v>
      </c>
    </row>
    <row r="9" spans="1:4" x14ac:dyDescent="0.25">
      <c r="A9" s="7" t="s">
        <v>40</v>
      </c>
      <c r="B9" s="4">
        <v>833700</v>
      </c>
      <c r="C9" s="20">
        <v>12</v>
      </c>
    </row>
    <row r="12" spans="1:4" x14ac:dyDescent="0.25">
      <c r="A12" s="8" t="s">
        <v>45</v>
      </c>
      <c r="B12" s="8" t="s">
        <v>46</v>
      </c>
    </row>
    <row r="13" spans="1:4" x14ac:dyDescent="0.25">
      <c r="A13" s="7" t="s">
        <v>10</v>
      </c>
      <c r="B13" s="4">
        <v>237700</v>
      </c>
    </row>
    <row r="14" spans="1:4" x14ac:dyDescent="0.25">
      <c r="A14" s="7" t="s">
        <v>11</v>
      </c>
      <c r="B14" s="4">
        <v>220500</v>
      </c>
    </row>
    <row r="15" spans="1:4" x14ac:dyDescent="0.25">
      <c r="A15" s="7" t="s">
        <v>9</v>
      </c>
      <c r="B15" s="4">
        <v>157000</v>
      </c>
    </row>
    <row r="16" spans="1:4" x14ac:dyDescent="0.25">
      <c r="A16" s="7" t="s">
        <v>13</v>
      </c>
      <c r="B16" s="4">
        <v>146500</v>
      </c>
    </row>
    <row r="17" spans="1:2" x14ac:dyDescent="0.25">
      <c r="A17" s="7" t="s">
        <v>12</v>
      </c>
      <c r="B17" s="4">
        <v>72000</v>
      </c>
    </row>
  </sheetData>
  <sortState xmlns:xlrd2="http://schemas.microsoft.com/office/spreadsheetml/2017/richdata2" ref="A13:B17">
    <sortCondition descending="1" ref="B16:B1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FA7F-DA56-4B19-8CED-CF611BD6FC39}">
  <dimension ref="A3:C7"/>
  <sheetViews>
    <sheetView workbookViewId="0">
      <selection activeCell="B6" sqref="B6"/>
    </sheetView>
  </sheetViews>
  <sheetFormatPr defaultRowHeight="15" x14ac:dyDescent="0.25"/>
  <cols>
    <col min="1" max="1" width="15.42578125" bestFit="1" customWidth="1"/>
    <col min="2" max="2" width="11.28515625" bestFit="1" customWidth="1"/>
    <col min="3" max="3" width="17.85546875" bestFit="1" customWidth="1"/>
  </cols>
  <sheetData>
    <row r="3" spans="1:3" x14ac:dyDescent="0.25">
      <c r="A3" s="6" t="s">
        <v>48</v>
      </c>
      <c r="B3" t="s">
        <v>46</v>
      </c>
      <c r="C3" t="s">
        <v>49</v>
      </c>
    </row>
    <row r="4" spans="1:3" x14ac:dyDescent="0.25">
      <c r="A4" s="7" t="s">
        <v>14</v>
      </c>
      <c r="B4" s="4">
        <v>524000</v>
      </c>
      <c r="C4" s="13">
        <f>B4/$B$7</f>
        <v>0.62852344968213991</v>
      </c>
    </row>
    <row r="5" spans="1:3" x14ac:dyDescent="0.25">
      <c r="A5" s="7" t="s">
        <v>15</v>
      </c>
      <c r="B5" s="4">
        <v>237700</v>
      </c>
      <c r="C5" s="13">
        <f t="shared" ref="C5:C6" si="0">B5/$B$7</f>
        <v>0.28511454959817678</v>
      </c>
    </row>
    <row r="6" spans="1:3" x14ac:dyDescent="0.25">
      <c r="A6" s="7" t="s">
        <v>16</v>
      </c>
      <c r="B6" s="4">
        <v>72000</v>
      </c>
      <c r="C6" s="13">
        <f t="shared" si="0"/>
        <v>8.6362000719683335E-2</v>
      </c>
    </row>
    <row r="7" spans="1:3" x14ac:dyDescent="0.25">
      <c r="A7" s="7" t="s">
        <v>40</v>
      </c>
      <c r="B7" s="4">
        <v>833700</v>
      </c>
      <c r="C7" s="14">
        <f>SUM(C4:C6)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D77C-3604-4164-838C-03AA55E0D8B1}">
  <dimension ref="A3:B8"/>
  <sheetViews>
    <sheetView workbookViewId="0">
      <selection activeCell="B5" sqref="B5"/>
    </sheetView>
  </sheetViews>
  <sheetFormatPr defaultRowHeight="15" x14ac:dyDescent="0.25"/>
  <cols>
    <col min="1" max="1" width="16.42578125" bestFit="1" customWidth="1"/>
    <col min="2" max="2" width="11.85546875" bestFit="1" customWidth="1"/>
  </cols>
  <sheetData>
    <row r="3" spans="1:2" x14ac:dyDescent="0.25">
      <c r="A3" s="6" t="s">
        <v>8</v>
      </c>
      <c r="B3" t="s">
        <v>50</v>
      </c>
    </row>
    <row r="4" spans="1:2" x14ac:dyDescent="0.25">
      <c r="A4" s="7" t="s">
        <v>26</v>
      </c>
      <c r="B4" s="4">
        <v>377500</v>
      </c>
    </row>
    <row r="5" spans="1:2" x14ac:dyDescent="0.25">
      <c r="A5" s="7" t="s">
        <v>27</v>
      </c>
      <c r="B5" s="4">
        <v>287000</v>
      </c>
    </row>
    <row r="6" spans="1:2" x14ac:dyDescent="0.25">
      <c r="A6" s="7" t="s">
        <v>28</v>
      </c>
      <c r="B6" s="4">
        <v>97200</v>
      </c>
    </row>
    <row r="7" spans="1:2" x14ac:dyDescent="0.25">
      <c r="A7" s="7" t="s">
        <v>29</v>
      </c>
      <c r="B7" s="4">
        <v>72000</v>
      </c>
    </row>
    <row r="8" spans="1:2" x14ac:dyDescent="0.25">
      <c r="A8" s="7" t="s">
        <v>40</v>
      </c>
      <c r="B8" s="4">
        <v>833700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0D4B-A243-41CF-93D7-5FADEBDEECA6}">
  <sheetPr>
    <pageSetUpPr fitToPage="1"/>
  </sheetPr>
  <dimension ref="A1:I5"/>
  <sheetViews>
    <sheetView topLeftCell="A4" zoomScale="59" zoomScaleNormal="59" workbookViewId="0">
      <selection activeCell="E9" sqref="E9"/>
    </sheetView>
  </sheetViews>
  <sheetFormatPr defaultRowHeight="15" x14ac:dyDescent="0.25"/>
  <cols>
    <col min="1" max="1" width="53.42578125" bestFit="1" customWidth="1"/>
    <col min="5" max="5" width="32.85546875" bestFit="1" customWidth="1"/>
    <col min="7" max="7" width="9.140625" customWidth="1"/>
    <col min="9" max="9" width="27.5703125" bestFit="1" customWidth="1"/>
  </cols>
  <sheetData>
    <row r="1" spans="1:9" x14ac:dyDescent="0.25">
      <c r="A1" s="12" t="s">
        <v>51</v>
      </c>
    </row>
    <row r="2" spans="1:9" x14ac:dyDescent="0.25">
      <c r="A2" s="15" t="s">
        <v>52</v>
      </c>
    </row>
    <row r="4" spans="1:9" x14ac:dyDescent="0.25">
      <c r="A4" s="16" t="s">
        <v>53</v>
      </c>
      <c r="E4" s="16" t="s">
        <v>55</v>
      </c>
      <c r="I4" s="16" t="s">
        <v>56</v>
      </c>
    </row>
    <row r="5" spans="1:9" ht="24" x14ac:dyDescent="0.4">
      <c r="A5" s="17" t="s">
        <v>54</v>
      </c>
      <c r="E5" s="18">
        <v>12</v>
      </c>
      <c r="I5" s="19" t="s">
        <v>57</v>
      </c>
    </row>
  </sheetData>
  <pageMargins left="0.7" right="0.7" top="0.75" bottom="0.75" header="0.3" footer="0.3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Ventas</vt:lpstr>
      <vt:lpstr>Análisis</vt:lpstr>
      <vt:lpstr>Productos</vt:lpstr>
      <vt:lpstr>Cliente</vt:lpstr>
      <vt:lpstr>Localidad</vt:lpstr>
      <vt:lpstr>Medio de pago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Pilar Jaime</dc:creator>
  <cp:lastModifiedBy>Agustina Pilar Jaime</cp:lastModifiedBy>
  <cp:lastPrinted>2026-09-29T23:06:45Z</cp:lastPrinted>
  <dcterms:created xsi:type="dcterms:W3CDTF">2026-09-28T16:59:13Z</dcterms:created>
  <dcterms:modified xsi:type="dcterms:W3CDTF">2026-10-02T18:35:55Z</dcterms:modified>
</cp:coreProperties>
</file>